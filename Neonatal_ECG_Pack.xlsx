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onatal ECG Interpretation" sheetId="1" state="visible" r:id="rId1"/>
    <sheet xmlns:r="http://schemas.openxmlformats.org/officeDocument/2006/relationships" name="Serial ECG Tracker" sheetId="2" state="visible" r:id="rId2"/>
    <sheet xmlns:r="http://schemas.openxmlformats.org/officeDocument/2006/relationships" name="Teaching Checklist" sheetId="3" state="visible" r:id="rId3"/>
    <sheet xmlns:r="http://schemas.openxmlformats.org/officeDocument/2006/relationships" name="Axis Wizar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center"/>
    </xf>
    <xf numFmtId="0" fontId="1" fillId="0" borderId="0" pivotButton="0" quotePrefix="0" xfId="0"/>
    <xf numFmtId="0" fontId="0" fillId="0" borderId="0" applyAlignment="1" pivotButton="0" quotePrefix="0" xfId="0">
      <alignment wrapText="1"/>
    </xf>
    <xf numFmtId="0" fontId="0" fillId="0" borderId="0" applyAlignment="1" pivotButton="0" quotePrefix="0" xfId="0">
      <alignment horizontal="center"/>
    </xf>
    <xf numFmtId="0" fontId="1" fillId="0" borderId="0" applyAlignment="1" pivotButton="0" quotePrefix="0" xfId="0">
      <alignment horizontal="right"/>
    </xf>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Serial ECG Metrics</a:t>
            </a:r>
          </a:p>
        </rich>
      </tx>
    </title>
    <plotArea>
      <lineChart>
        <grouping val="standard"/>
        <ser>
          <idx val="0"/>
          <order val="0"/>
          <tx>
            <strRef>
              <f>'Serial ECG Tracker'!C2</f>
            </strRef>
          </tx>
          <spPr>
            <a:ln xmlns:a="http://schemas.openxmlformats.org/drawingml/2006/main">
              <a:prstDash val="solid"/>
            </a:ln>
          </spPr>
          <marker>
            <symbol val="none"/>
            <spPr>
              <a:ln xmlns:a="http://schemas.openxmlformats.org/drawingml/2006/main">
                <a:prstDash val="solid"/>
              </a:ln>
            </spPr>
          </marker>
          <cat>
            <numRef>
              <f>'Serial ECG Tracker'!$A$3:$A$32</f>
            </numRef>
          </cat>
          <val>
            <numRef>
              <f>'Serial ECG Tracker'!$C$3:$C$32</f>
            </numRef>
          </val>
        </ser>
        <ser>
          <idx val="1"/>
          <order val="1"/>
          <tx>
            <strRef>
              <f>'Serial ECG Tracker'!E2</f>
            </strRef>
          </tx>
          <spPr>
            <a:ln xmlns:a="http://schemas.openxmlformats.org/drawingml/2006/main">
              <a:prstDash val="solid"/>
            </a:ln>
          </spPr>
          <marker>
            <symbol val="none"/>
            <spPr>
              <a:ln xmlns:a="http://schemas.openxmlformats.org/drawingml/2006/main">
                <a:prstDash val="solid"/>
              </a:ln>
            </spPr>
          </marker>
          <cat>
            <numRef>
              <f>'Serial ECG Tracker'!$A$3:$A$32</f>
            </numRef>
          </cat>
          <val>
            <numRef>
              <f>'Serial ECG Tracker'!$E$3:$E$32</f>
            </numRef>
          </val>
        </ser>
        <ser>
          <idx val="2"/>
          <order val="2"/>
          <tx>
            <strRef>
              <f>'Serial ECG Tracker'!G2</f>
            </strRef>
          </tx>
          <spPr>
            <a:ln xmlns:a="http://schemas.openxmlformats.org/drawingml/2006/main">
              <a:prstDash val="solid"/>
            </a:ln>
          </spPr>
          <marker>
            <symbol val="none"/>
            <spPr>
              <a:ln xmlns:a="http://schemas.openxmlformats.org/drawingml/2006/main">
                <a:prstDash val="solid"/>
              </a:ln>
            </spPr>
          </marker>
          <cat>
            <numRef>
              <f>'Serial ECG Tracker'!$A$3:$A$32</f>
            </numRef>
          </cat>
          <val>
            <numRef>
              <f>'Serial ECG Tracker'!$G$3:$G$32</f>
            </numRef>
          </val>
        </ser>
        <axId val="10"/>
        <axId val="100"/>
      </lineChart>
      <catAx>
        <axId val="10"/>
        <scaling>
          <orientation val="minMax"/>
        </scaling>
        <axPos val="l"/>
        <title>
          <tx>
            <rich>
              <a:bodyPr xmlns:a="http://schemas.openxmlformats.org/drawingml/2006/main"/>
              <a:p xmlns:a="http://schemas.openxmlformats.org/drawingml/2006/main">
                <a:pPr>
                  <a:defRPr/>
                </a:pPr>
                <a:r>
                  <a:t>Date/Time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HR (bpm) / Intervals (s)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11</col>
      <colOff>0</colOff>
      <row>2</row>
      <rowOff>0</rowOff>
    </from>
    <ext cx="1008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Neonatal ECG interpreter: enter numbers in 'Your Input', use dropdowns for Yes/No and Axis. 'Calculated Value' and 'Interpretation' fill automatically. Green = within expected neonatal ranges.</t>
        </is>
      </c>
    </row>
    <row r="2">
      <c r="A2" t="inlineStr">
        <is>
          <t>Step</t>
        </is>
      </c>
      <c r="B2" t="inlineStr">
        <is>
          <t>Parameter</t>
        </is>
      </c>
      <c r="C2" t="inlineStr">
        <is>
          <t>Input Type</t>
        </is>
      </c>
      <c r="D2" t="inlineStr">
        <is>
          <t>Your Input</t>
        </is>
      </c>
      <c r="E2" t="inlineStr">
        <is>
          <t>Calculated Value</t>
        </is>
      </c>
      <c r="F2" t="inlineStr">
        <is>
          <t>Normal Range / Expected</t>
        </is>
      </c>
      <c r="G2" t="inlineStr">
        <is>
          <t>Interpretation</t>
        </is>
      </c>
    </row>
    <row r="3">
      <c r="A3" t="n">
        <v>1</v>
      </c>
      <c r="B3" t="inlineStr">
        <is>
          <t>Heart rate (R-R interval in big squares)</t>
        </is>
      </c>
      <c r="C3" t="inlineStr">
        <is>
          <t>Number</t>
        </is>
      </c>
      <c r="D3" t="inlineStr"/>
      <c r="E3">
        <f>IFERROR(300/D3,"")</f>
        <v/>
      </c>
      <c r="F3" t="inlineStr">
        <is>
          <t>120–180 bpm (neonate)</t>
        </is>
      </c>
      <c r="G3">
        <f>IF(E3="","",IF(AND(E3&gt;=120,E3&lt;=180),"Normal neonatal HR","Outside neonatal HR range"))</f>
        <v/>
      </c>
    </row>
    <row r="4">
      <c r="A4" t="n">
        <v>2</v>
      </c>
      <c r="B4" t="inlineStr">
        <is>
          <t>P wave before every QRS?</t>
        </is>
      </c>
      <c r="C4" t="inlineStr">
        <is>
          <t>Yes/No</t>
        </is>
      </c>
      <c r="D4" t="inlineStr"/>
      <c r="E4" t="inlineStr"/>
      <c r="F4" t="inlineStr">
        <is>
          <t>Yes (sinus rhythm)</t>
        </is>
      </c>
      <c r="G4">
        <f>IF(D4="","",IF(D4="Yes","Sinus rhythm","Non-sinus rhythm – investigate"))</f>
        <v/>
      </c>
    </row>
    <row r="5">
      <c r="A5" t="n">
        <v>3</v>
      </c>
      <c r="B5" t="inlineStr">
        <is>
          <t>PR interval (small squares)</t>
        </is>
      </c>
      <c r="C5" t="inlineStr">
        <is>
          <t>Number</t>
        </is>
      </c>
      <c r="D5" t="inlineStr"/>
      <c r="E5">
        <f>IFERROR(D5*0.04,"")</f>
        <v/>
      </c>
      <c r="F5" t="inlineStr">
        <is>
          <t>2–3.5 small squares (0.08–0.14 s)</t>
        </is>
      </c>
      <c r="G5">
        <f>IF(E5="","",IF(AND(E5&gt;=0.08,E5&lt;=0.14),"Normal PR","Abnormal PR"))</f>
        <v/>
      </c>
    </row>
    <row r="6">
      <c r="A6" t="n">
        <v>4</v>
      </c>
      <c r="B6" t="inlineStr">
        <is>
          <t>QRS width (small squares)</t>
        </is>
      </c>
      <c r="C6" t="inlineStr">
        <is>
          <t>Number</t>
        </is>
      </c>
      <c r="D6" t="inlineStr"/>
      <c r="E6">
        <f>IFERROR(D6*0.04,"")</f>
        <v/>
      </c>
      <c r="F6" t="inlineStr">
        <is>
          <t>≤2 small squares (≤0.08 s)</t>
        </is>
      </c>
      <c r="G6">
        <f>IF(E6="","",IF(E6&lt;=0.08,"Normal QRS","Prolonged QRS"))</f>
        <v/>
      </c>
    </row>
    <row r="7">
      <c r="A7" t="n">
        <v>5</v>
      </c>
      <c r="B7" t="inlineStr">
        <is>
          <t>Axis (Lead I +/-, aVF +/-)</t>
        </is>
      </c>
      <c r="C7" t="inlineStr">
        <is>
          <t>Choice</t>
        </is>
      </c>
      <c r="D7" t="inlineStr"/>
      <c r="E7" t="inlineStr"/>
      <c r="F7" t="inlineStr">
        <is>
          <t>Normal: +60° to +160° (rightward in neonates)</t>
        </is>
      </c>
      <c r="G7">
        <f>IF(D7="","",IF(D7="Lead I + / aVF +","Axis ~0° to +90° (normal)",IF(D7="Lead I - / aVF +","Right axis (+90° to +180°) – normal in neonates",IF(D7="Lead I + / aVF -","Left axis (0° to -90°) – consider pathology","Extreme axis (northwest) – abnormal"))))</f>
        <v/>
      </c>
    </row>
    <row r="8">
      <c r="A8" t="n">
        <v>6</v>
      </c>
      <c r="B8" t="inlineStr">
        <is>
          <t>R in V1 vs R in V6</t>
        </is>
      </c>
      <c r="C8" t="inlineStr">
        <is>
          <t>Observation</t>
        </is>
      </c>
      <c r="D8" t="inlineStr"/>
      <c r="E8" t="inlineStr"/>
      <c r="F8" t="inlineStr">
        <is>
          <t>RV dominance normal in neonates</t>
        </is>
      </c>
      <c r="G8" t="inlineStr">
        <is>
          <t>If R in V1 &gt; R in V6 → RV dominance (physiological in neonates)</t>
        </is>
      </c>
    </row>
    <row r="9">
      <c r="A9" t="n">
        <v>7</v>
      </c>
      <c r="B9" t="inlineStr">
        <is>
          <t>T waves in V1–V3</t>
        </is>
      </c>
      <c r="C9" t="inlineStr">
        <is>
          <t>Observation</t>
        </is>
      </c>
      <c r="D9" t="inlineStr"/>
      <c r="E9" t="inlineStr"/>
      <c r="F9" t="inlineStr">
        <is>
          <t>Inverted after few days (normal)</t>
        </is>
      </c>
      <c r="G9" t="inlineStr">
        <is>
          <t>Inverted T in V1–V3 after first week is typical; upright may be age-related</t>
        </is>
      </c>
    </row>
    <row r="10">
      <c r="A10" t="n">
        <v>8</v>
      </c>
      <c r="B10" t="inlineStr">
        <is>
          <t>ST segment changes?</t>
        </is>
      </c>
      <c r="C10" t="inlineStr">
        <is>
          <t>Yes/No</t>
        </is>
      </c>
      <c r="D10" t="inlineStr"/>
      <c r="E10" t="inlineStr"/>
      <c r="F10" t="inlineStr">
        <is>
          <t>No ST elevation/depression</t>
        </is>
      </c>
      <c r="G10">
        <f>IF(D10="","",IF(D10="No","No acute ST deviation","ST change – correlate clinically"))</f>
        <v/>
      </c>
    </row>
  </sheetData>
  <mergeCells count="1">
    <mergeCell ref="A1:G1"/>
  </mergeCells>
  <conditionalFormatting sqref="E3">
    <cfRule type="cellIs" priority="1" operator="between" dxfId="0" stopIfTrue="1">
      <formula>120</formula>
      <formula>180</formula>
    </cfRule>
    <cfRule type="expression" priority="2" dxfId="1">
      <formula>=AND(E3&lt;&gt;"", OR(E3&lt;120, E3&gt;180))</formula>
    </cfRule>
  </conditionalFormatting>
  <conditionalFormatting sqref="E5">
    <cfRule type="cellIs" priority="3" operator="between" dxfId="0" stopIfTrue="1">
      <formula>0.08</formula>
      <formula>0.14</formula>
    </cfRule>
    <cfRule type="expression" priority="4" dxfId="1">
      <formula>=AND(E5&lt;&gt;"", OR(E5&lt;0.08, E5&gt;0.14))</formula>
    </cfRule>
  </conditionalFormatting>
  <conditionalFormatting sqref="E6">
    <cfRule type="cellIs" priority="5" operator="lessThanOrEqual" dxfId="0" stopIfTrue="1">
      <formula>0.08</formula>
    </cfRule>
    <cfRule type="expression" priority="6" dxfId="1">
      <formula>=AND(E6&lt;&gt;"", E6&gt;0.08)</formula>
    </cfRule>
  </conditionalFormatting>
  <conditionalFormatting sqref="D4">
    <cfRule type="expression" priority="7" dxfId="0">
      <formula>=D4="Yes"</formula>
    </cfRule>
    <cfRule type="expression" priority="8" dxfId="1">
      <formula>=D4="No"</formula>
    </cfRule>
  </conditionalFormatting>
  <conditionalFormatting sqref="D7">
    <cfRule type="expression" priority="9" dxfId="0">
      <formula>=OR(D7="Lead I + / aVF +", D7="Lead I - / aVF +")</formula>
    </cfRule>
    <cfRule type="expression" priority="10" dxfId="1">
      <formula>=OR(D7="Lead I + / aVF -", D7="Lead I - / aVF -")</formula>
    </cfRule>
  </conditionalFormatting>
  <conditionalFormatting sqref="D10">
    <cfRule type="expression" priority="11" dxfId="0">
      <formula>=D10="No"</formula>
    </cfRule>
    <cfRule type="expression" priority="12" dxfId="1">
      <formula>=D10="Yes"</formula>
    </cfRule>
  </conditionalFormatting>
  <dataValidations count="3">
    <dataValidation sqref="D3 D9" showErrorMessage="1" showInputMessage="1" allowBlank="1" type="list">
      <formula1>"Yes,No"</formula1>
    </dataValidation>
    <dataValidation sqref="D6" showErrorMessage="1" showInputMessage="1" allowBlank="1" type="list">
      <formula1>"Lead I + / aVF +,Lead I - / aVF +,Lead I + / aVF -,Lead I - / aVF -"</formula1>
    </dataValidation>
    <dataValidation sqref="D2 D4 D5" showErrorMessage="1" showInputMessage="1" allowBlank="1" type="decimal" operator="greaterThan">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14" customWidth="1" min="3" max="3"/>
    <col width="16" customWidth="1" min="4" max="4"/>
    <col width="10" customWidth="1" min="5" max="5"/>
    <col width="16" customWidth="1" min="6" max="6"/>
    <col width="10" customWidth="1" min="7" max="7"/>
    <col width="24" customWidth="1" min="8" max="8"/>
    <col width="20" customWidth="1" min="9" max="9"/>
    <col width="20" customWidth="1" min="10" max="10"/>
    <col width="30" customWidth="1" min="11" max="11"/>
  </cols>
  <sheetData>
    <row r="1">
      <c r="A1" s="1" t="inlineStr">
        <is>
          <t>Serial ECG Tracker: enter values in each row. HR/PR/QRS auto-calc. Use dropdowns. Chart updates for first 30 entries.</t>
        </is>
      </c>
    </row>
    <row r="2">
      <c r="A2" t="inlineStr">
        <is>
          <t>Date/Time</t>
        </is>
      </c>
      <c r="B2" t="inlineStr">
        <is>
          <t>R–R (big squares)</t>
        </is>
      </c>
      <c r="C2" t="inlineStr">
        <is>
          <t>HR (bpm)</t>
        </is>
      </c>
      <c r="D2" t="inlineStr">
        <is>
          <t>PR (small sq)</t>
        </is>
      </c>
      <c r="E2" t="inlineStr">
        <is>
          <t>PR (s)</t>
        </is>
      </c>
      <c r="F2" t="inlineStr">
        <is>
          <t>QRS (small sq)</t>
        </is>
      </c>
      <c r="G2" t="inlineStr">
        <is>
          <t>QRS (s)</t>
        </is>
      </c>
      <c r="H2" t="inlineStr">
        <is>
          <t>Axis (Lead I / aVF)</t>
        </is>
      </c>
      <c r="I2" t="inlineStr">
        <is>
          <t>P before every QRS?</t>
        </is>
      </c>
      <c r="J2" t="inlineStr">
        <is>
          <t>ST segment changes?</t>
        </is>
      </c>
      <c r="K2" t="inlineStr">
        <is>
          <t>Notes</t>
        </is>
      </c>
    </row>
    <row r="3">
      <c r="C3">
        <f>IFERROR(300/B3,"")</f>
        <v/>
      </c>
      <c r="E3">
        <f>IFERROR(D3*0.04,"")</f>
        <v/>
      </c>
      <c r="G3">
        <f>IFERROR(F3*0.04,"")</f>
        <v/>
      </c>
    </row>
    <row r="4">
      <c r="C4">
        <f>IFERROR(300/B4,"")</f>
        <v/>
      </c>
      <c r="E4">
        <f>IFERROR(D4*0.04,"")</f>
        <v/>
      </c>
      <c r="G4">
        <f>IFERROR(F4*0.04,"")</f>
        <v/>
      </c>
    </row>
    <row r="5">
      <c r="C5">
        <f>IFERROR(300/B5,"")</f>
        <v/>
      </c>
      <c r="E5">
        <f>IFERROR(D5*0.04,"")</f>
        <v/>
      </c>
      <c r="G5">
        <f>IFERROR(F5*0.04,"")</f>
        <v/>
      </c>
    </row>
    <row r="6">
      <c r="C6">
        <f>IFERROR(300/B6,"")</f>
        <v/>
      </c>
      <c r="E6">
        <f>IFERROR(D6*0.04,"")</f>
        <v/>
      </c>
      <c r="G6">
        <f>IFERROR(F6*0.04,"")</f>
        <v/>
      </c>
    </row>
    <row r="7">
      <c r="C7">
        <f>IFERROR(300/B7,"")</f>
        <v/>
      </c>
      <c r="E7">
        <f>IFERROR(D7*0.04,"")</f>
        <v/>
      </c>
      <c r="G7">
        <f>IFERROR(F7*0.04,"")</f>
        <v/>
      </c>
    </row>
    <row r="8">
      <c r="C8">
        <f>IFERROR(300/B8,"")</f>
        <v/>
      </c>
      <c r="E8">
        <f>IFERROR(D8*0.04,"")</f>
        <v/>
      </c>
      <c r="G8">
        <f>IFERROR(F8*0.04,"")</f>
        <v/>
      </c>
    </row>
    <row r="9">
      <c r="C9">
        <f>IFERROR(300/B9,"")</f>
        <v/>
      </c>
      <c r="E9">
        <f>IFERROR(D9*0.04,"")</f>
        <v/>
      </c>
      <c r="G9">
        <f>IFERROR(F9*0.04,"")</f>
        <v/>
      </c>
    </row>
    <row r="10">
      <c r="C10">
        <f>IFERROR(300/B10,"")</f>
        <v/>
      </c>
      <c r="E10">
        <f>IFERROR(D10*0.04,"")</f>
        <v/>
      </c>
      <c r="G10">
        <f>IFERROR(F10*0.04,"")</f>
        <v/>
      </c>
    </row>
    <row r="11">
      <c r="C11">
        <f>IFERROR(300/B11,"")</f>
        <v/>
      </c>
      <c r="E11">
        <f>IFERROR(D11*0.04,"")</f>
        <v/>
      </c>
      <c r="G11">
        <f>IFERROR(F11*0.04,"")</f>
        <v/>
      </c>
    </row>
    <row r="12">
      <c r="C12">
        <f>IFERROR(300/B12,"")</f>
        <v/>
      </c>
      <c r="E12">
        <f>IFERROR(D12*0.04,"")</f>
        <v/>
      </c>
      <c r="G12">
        <f>IFERROR(F12*0.04,"")</f>
        <v/>
      </c>
    </row>
    <row r="13">
      <c r="C13">
        <f>IFERROR(300/B13,"")</f>
        <v/>
      </c>
      <c r="E13">
        <f>IFERROR(D13*0.04,"")</f>
        <v/>
      </c>
      <c r="G13">
        <f>IFERROR(F13*0.04,"")</f>
        <v/>
      </c>
    </row>
    <row r="14">
      <c r="C14">
        <f>IFERROR(300/B14,"")</f>
        <v/>
      </c>
      <c r="E14">
        <f>IFERROR(D14*0.04,"")</f>
        <v/>
      </c>
      <c r="G14">
        <f>IFERROR(F14*0.04,"")</f>
        <v/>
      </c>
    </row>
    <row r="15">
      <c r="C15">
        <f>IFERROR(300/B15,"")</f>
        <v/>
      </c>
      <c r="E15">
        <f>IFERROR(D15*0.04,"")</f>
        <v/>
      </c>
      <c r="G15">
        <f>IFERROR(F15*0.04,"")</f>
        <v/>
      </c>
    </row>
    <row r="16">
      <c r="C16">
        <f>IFERROR(300/B16,"")</f>
        <v/>
      </c>
      <c r="E16">
        <f>IFERROR(D16*0.04,"")</f>
        <v/>
      </c>
      <c r="G16">
        <f>IFERROR(F16*0.04,"")</f>
        <v/>
      </c>
    </row>
    <row r="17">
      <c r="C17">
        <f>IFERROR(300/B17,"")</f>
        <v/>
      </c>
      <c r="E17">
        <f>IFERROR(D17*0.04,"")</f>
        <v/>
      </c>
      <c r="G17">
        <f>IFERROR(F17*0.04,"")</f>
        <v/>
      </c>
    </row>
    <row r="18">
      <c r="C18">
        <f>IFERROR(300/B18,"")</f>
        <v/>
      </c>
      <c r="E18">
        <f>IFERROR(D18*0.04,"")</f>
        <v/>
      </c>
      <c r="G18">
        <f>IFERROR(F18*0.04,"")</f>
        <v/>
      </c>
    </row>
    <row r="19">
      <c r="C19">
        <f>IFERROR(300/B19,"")</f>
        <v/>
      </c>
      <c r="E19">
        <f>IFERROR(D19*0.04,"")</f>
        <v/>
      </c>
      <c r="G19">
        <f>IFERROR(F19*0.04,"")</f>
        <v/>
      </c>
    </row>
    <row r="20">
      <c r="C20">
        <f>IFERROR(300/B20,"")</f>
        <v/>
      </c>
      <c r="E20">
        <f>IFERROR(D20*0.04,"")</f>
        <v/>
      </c>
      <c r="G20">
        <f>IFERROR(F20*0.04,"")</f>
        <v/>
      </c>
    </row>
    <row r="21">
      <c r="C21">
        <f>IFERROR(300/B21,"")</f>
        <v/>
      </c>
      <c r="E21">
        <f>IFERROR(D21*0.04,"")</f>
        <v/>
      </c>
      <c r="G21">
        <f>IFERROR(F21*0.04,"")</f>
        <v/>
      </c>
    </row>
    <row r="22">
      <c r="C22">
        <f>IFERROR(300/B22,"")</f>
        <v/>
      </c>
      <c r="E22">
        <f>IFERROR(D22*0.04,"")</f>
        <v/>
      </c>
      <c r="G22">
        <f>IFERROR(F22*0.04,"")</f>
        <v/>
      </c>
    </row>
    <row r="23">
      <c r="C23">
        <f>IFERROR(300/B23,"")</f>
        <v/>
      </c>
      <c r="E23">
        <f>IFERROR(D23*0.04,"")</f>
        <v/>
      </c>
      <c r="G23">
        <f>IFERROR(F23*0.04,"")</f>
        <v/>
      </c>
    </row>
    <row r="24">
      <c r="C24">
        <f>IFERROR(300/B24,"")</f>
        <v/>
      </c>
      <c r="E24">
        <f>IFERROR(D24*0.04,"")</f>
        <v/>
      </c>
      <c r="G24">
        <f>IFERROR(F24*0.04,"")</f>
        <v/>
      </c>
    </row>
    <row r="25">
      <c r="C25">
        <f>IFERROR(300/B25,"")</f>
        <v/>
      </c>
      <c r="E25">
        <f>IFERROR(D25*0.04,"")</f>
        <v/>
      </c>
      <c r="G25">
        <f>IFERROR(F25*0.04,"")</f>
        <v/>
      </c>
    </row>
    <row r="26">
      <c r="C26">
        <f>IFERROR(300/B26,"")</f>
        <v/>
      </c>
      <c r="E26">
        <f>IFERROR(D26*0.04,"")</f>
        <v/>
      </c>
      <c r="G26">
        <f>IFERROR(F26*0.04,"")</f>
        <v/>
      </c>
    </row>
    <row r="27">
      <c r="C27">
        <f>IFERROR(300/B27,"")</f>
        <v/>
      </c>
      <c r="E27">
        <f>IFERROR(D27*0.04,"")</f>
        <v/>
      </c>
      <c r="G27">
        <f>IFERROR(F27*0.04,"")</f>
        <v/>
      </c>
    </row>
    <row r="28">
      <c r="C28">
        <f>IFERROR(300/B28,"")</f>
        <v/>
      </c>
      <c r="E28">
        <f>IFERROR(D28*0.04,"")</f>
        <v/>
      </c>
      <c r="G28">
        <f>IFERROR(F28*0.04,"")</f>
        <v/>
      </c>
    </row>
    <row r="29">
      <c r="C29">
        <f>IFERROR(300/B29,"")</f>
        <v/>
      </c>
      <c r="E29">
        <f>IFERROR(D29*0.04,"")</f>
        <v/>
      </c>
      <c r="G29">
        <f>IFERROR(F29*0.04,"")</f>
        <v/>
      </c>
    </row>
    <row r="30">
      <c r="C30">
        <f>IFERROR(300/B30,"")</f>
        <v/>
      </c>
      <c r="E30">
        <f>IFERROR(D30*0.04,"")</f>
        <v/>
      </c>
      <c r="G30">
        <f>IFERROR(F30*0.04,"")</f>
        <v/>
      </c>
    </row>
    <row r="31">
      <c r="C31">
        <f>IFERROR(300/B31,"")</f>
        <v/>
      </c>
      <c r="E31">
        <f>IFERROR(D31*0.04,"")</f>
        <v/>
      </c>
      <c r="G31">
        <f>IFERROR(F31*0.04,"")</f>
        <v/>
      </c>
    </row>
    <row r="32">
      <c r="C32">
        <f>IFERROR(300/B32,"")</f>
        <v/>
      </c>
      <c r="E32">
        <f>IFERROR(D32*0.04,"")</f>
        <v/>
      </c>
      <c r="G32">
        <f>IFERROR(F32*0.04,"")</f>
        <v/>
      </c>
    </row>
  </sheetData>
  <mergeCells count="1">
    <mergeCell ref="A1:K1"/>
  </mergeCells>
  <dataValidations count="2">
    <dataValidation sqref="I3 J3 I4 J4 I5 J5 I6 J6 I7 J7 I8 J8 I9 J9 I10 J10 I11 J11 I12 J12 I13 J13 I14 J14 I15 J15 I16 J16 I17 J17 I18 J18 I19 J19 I20 J20 I21 J21 I22 J22 I23 J23 I24 J24 I25 J25 I26 J26 I27 J27 I28 J28 I29 J29 I30 J30 I31 J31 I32 J32" showErrorMessage="1" showInputMessage="1" allowBlank="1" type="list">
      <formula1>"Yes,No"</formula1>
    </dataValidation>
    <dataValidation sqref="H3 H4 H5 H6 H7 H8 H9 H10 H11 H12 H13 H14 H15 H16 H17 H18 H19 H20 H21 H22 H23 H24 H25 H26 H27 H28 H29 H30 H31 H32" showErrorMessage="1" showInputMessage="1" allowBlank="1" type="list">
      <formula1>"Lead I + / aVF +,Lead I - / aVF +,Lead I + / aVF -,Lead I - / aVF -"</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min="1" max="1"/>
    <col width="60" customWidth="1" min="2" max="2"/>
    <col width="18" customWidth="1" min="3" max="3"/>
    <col width="40" customWidth="1" min="4" max="4"/>
  </cols>
  <sheetData>
    <row r="1">
      <c r="A1" s="2" t="inlineStr">
        <is>
          <t>Neonatal ECG Teaching Checklist (Print to 1 page)</t>
        </is>
      </c>
    </row>
    <row r="2">
      <c r="A2" s="3" t="inlineStr">
        <is>
          <t>Section</t>
        </is>
      </c>
      <c r="B2" s="3" t="inlineStr">
        <is>
          <t>What to check</t>
        </is>
      </c>
      <c r="C2" s="3" t="inlineStr">
        <is>
          <t>Input Type</t>
        </is>
      </c>
      <c r="D2" s="3" t="inlineStr">
        <is>
          <t>Your Input</t>
        </is>
      </c>
    </row>
    <row r="3">
      <c r="A3" t="inlineStr">
        <is>
          <t>Calibration</t>
        </is>
      </c>
      <c r="B3" t="inlineStr">
        <is>
          <t>Paper speed 25 mm/s; Gain 10 mm/mV (10‑mm box visible)</t>
        </is>
      </c>
      <c r="C3" t="inlineStr">
        <is>
          <t>Yes/No</t>
        </is>
      </c>
      <c r="D3" t="inlineStr"/>
    </row>
    <row r="4">
      <c r="A4" t="inlineStr">
        <is>
          <t>Rate</t>
        </is>
      </c>
      <c r="B4" t="inlineStr">
        <is>
          <t>Count big squares between R–R → HR = 300 / squares</t>
        </is>
      </c>
      <c r="C4" t="inlineStr">
        <is>
          <t>Number / bpm</t>
        </is>
      </c>
      <c r="D4" t="inlineStr"/>
    </row>
    <row r="5">
      <c r="A5" t="inlineStr">
        <is>
          <t>Rhythm</t>
        </is>
      </c>
      <c r="B5" t="inlineStr">
        <is>
          <t>P before every QRS? P morphology consistent? PR stable?</t>
        </is>
      </c>
      <c r="C5" t="inlineStr">
        <is>
          <t>Yes/No</t>
        </is>
      </c>
      <c r="D5" t="inlineStr"/>
    </row>
    <row r="6">
      <c r="A6" t="inlineStr">
        <is>
          <t>PR Interval</t>
        </is>
      </c>
      <c r="B6" t="inlineStr">
        <is>
          <t>Small squares × 0.04 s (Normal 0.08–0.14 s)</t>
        </is>
      </c>
      <c r="C6" t="inlineStr">
        <is>
          <t>Number (small) / seconds</t>
        </is>
      </c>
      <c r="D6" t="inlineStr"/>
    </row>
    <row r="7">
      <c r="A7" t="inlineStr">
        <is>
          <t>QRS Duration</t>
        </is>
      </c>
      <c r="B7" t="inlineStr">
        <is>
          <t>Small squares × 0.04 s (≤0.08 s)</t>
        </is>
      </c>
      <c r="C7" t="inlineStr">
        <is>
          <t>Number (small) / seconds</t>
        </is>
      </c>
      <c r="D7" t="inlineStr"/>
    </row>
    <row r="8">
      <c r="A8" t="inlineStr">
        <is>
          <t>Axis</t>
        </is>
      </c>
      <c r="B8" t="inlineStr">
        <is>
          <t>Lead I ± ; aVF ± (Neonates: rightward often normal)</t>
        </is>
      </c>
      <c r="C8" t="inlineStr">
        <is>
          <t>Dropdown</t>
        </is>
      </c>
      <c r="D8" t="inlineStr"/>
    </row>
    <row r="9">
      <c r="A9" t="inlineStr">
        <is>
          <t>Voltages</t>
        </is>
      </c>
      <c r="B9" t="inlineStr">
        <is>
          <t>RV dominance (R in V1 &gt; V6) normal in neonates</t>
        </is>
      </c>
      <c r="C9" t="inlineStr">
        <is>
          <t>Yes/No / Note</t>
        </is>
      </c>
      <c r="D9" t="inlineStr"/>
    </row>
    <row r="10">
      <c r="A10" t="inlineStr">
        <is>
          <t>ST Segment</t>
        </is>
      </c>
      <c r="B10" t="inlineStr">
        <is>
          <t>No ST elevation/depression expected</t>
        </is>
      </c>
      <c r="C10" t="inlineStr">
        <is>
          <t>Yes/No</t>
        </is>
      </c>
      <c r="D10" t="inlineStr"/>
    </row>
    <row r="11">
      <c r="A11" t="inlineStr">
        <is>
          <t>T Waves</t>
        </is>
      </c>
      <c r="B11" t="inlineStr">
        <is>
          <t>Inverted V1–V3 after first week typical</t>
        </is>
      </c>
      <c r="C11" t="inlineStr">
        <is>
          <t>Yes/No / Note</t>
        </is>
      </c>
      <c r="D11" t="inlineStr"/>
    </row>
    <row r="12">
      <c r="A12" t="inlineStr">
        <is>
          <t>Comments</t>
        </is>
      </c>
      <c r="B12" t="inlineStr">
        <is>
          <t>Clinical correlation (tachy episodes, meds, oxygenation)</t>
        </is>
      </c>
      <c r="C12" t="inlineStr">
        <is>
          <t>Free text</t>
        </is>
      </c>
      <c r="D12" t="inlineStr"/>
    </row>
  </sheetData>
  <mergeCells count="1">
    <mergeCell ref="A1:D1"/>
  </mergeCells>
  <dataValidations count="2">
    <dataValidation sqref="D3 D5 D8 D9 D10 D11" showErrorMessage="1" showInputMessage="1" allowBlank="1" type="list">
      <formula1>"Yes,No"</formula1>
    </dataValidation>
    <dataValidation sqref="D7" showErrorMessage="1" showInputMessage="1" allowBlank="1" type="list">
      <formula1>"Lead I + / aVF +,Lead I - / aVF +,Lead I + / aVF -,Lead I - / aVF -"</formula1>
    </dataValidation>
  </dataValidations>
  <pageMargins left="0.75" right="0.75" top="1" bottom="1" header="0.5" footer="0.5"/>
  <pageSetup orientation="landscape" fitToHeight="1" fitToWidth="1"/>
</worksheet>
</file>

<file path=xl/worksheets/sheet4.xml><?xml version="1.0" encoding="utf-8"?>
<worksheet xmlns="http://schemas.openxmlformats.org/spreadsheetml/2006/main">
  <sheetPr>
    <outlinePr summaryBelow="1" summaryRight="1"/>
    <pageSetUpPr/>
  </sheetPr>
  <dimension ref="A1:E7"/>
  <sheetViews>
    <sheetView workbookViewId="0">
      <pane ySplit="3" topLeftCell="A4" activePane="bottomLeft" state="frozen"/>
      <selection pane="bottomLeft" activeCell="A1" sqref="A1"/>
    </sheetView>
  </sheetViews>
  <sheetFormatPr baseColWidth="8" defaultRowHeight="15"/>
  <cols>
    <col width="10" customWidth="1" min="1" max="1"/>
    <col width="55" customWidth="1" min="2" max="2"/>
    <col width="26" customWidth="1" min="3" max="3"/>
    <col width="40" customWidth="1" min="4" max="4"/>
    <col width="40" customWidth="1" min="5" max="5"/>
  </cols>
  <sheetData>
    <row r="1">
      <c r="A1" s="2" t="inlineStr">
        <is>
          <t>ECG Axis – Yes/No Wizard (neonatal-friendly)</t>
        </is>
      </c>
    </row>
    <row r="2">
      <c r="A2" s="4" t="inlineStr">
        <is>
          <t>Answer the Yes/No questions. Result auto-fills. (‘Positive’ = R &gt; S). Use Lead II only if both I and aVF are positive.</t>
        </is>
      </c>
    </row>
    <row r="3">
      <c r="A3" s="3" t="inlineStr">
        <is>
          <t>Step</t>
        </is>
      </c>
      <c r="B3" s="3" t="inlineStr">
        <is>
          <t>Question</t>
        </is>
      </c>
      <c r="C3" s="3" t="inlineStr">
        <is>
          <t>Your answer (Yes/No)</t>
        </is>
      </c>
      <c r="D3" s="3" t="inlineStr">
        <is>
          <t>Auto‑meaning</t>
        </is>
      </c>
      <c r="E3" s="3" t="inlineStr">
        <is>
          <t>Tip</t>
        </is>
      </c>
    </row>
    <row r="4">
      <c r="A4" s="5" t="n">
        <v>1</v>
      </c>
      <c r="B4" t="inlineStr">
        <is>
          <t>Is QRS in Lead I predominantly positive (R &gt; S)?</t>
        </is>
      </c>
      <c r="C4" s="5" t="inlineStr"/>
      <c r="D4">
        <f>IF(C4="","",IF(C4="Yes","Lead I positive","Lead I negative (rightward)"))</f>
        <v/>
      </c>
      <c r="E4" t="inlineStr">
        <is>
          <t>If borderline, pick closest.</t>
        </is>
      </c>
    </row>
    <row r="5">
      <c r="A5" s="5" t="n">
        <v>2</v>
      </c>
      <c r="B5" t="inlineStr">
        <is>
          <t>Is QRS in aVF predominantly positive (R &gt; S)?</t>
        </is>
      </c>
      <c r="C5" s="5" t="inlineStr"/>
      <c r="D5">
        <f>IF(C5="","",IF(C5="Yes","aVF positive","aVF negative (leftward)"))</f>
        <v/>
      </c>
      <c r="E5" t="inlineStr">
        <is>
          <t>Inferior axis check.</t>
        </is>
      </c>
    </row>
    <row r="6">
      <c r="A6" s="5" t="n">
        <v>3</v>
      </c>
      <c r="B6" t="inlineStr">
        <is>
          <t>Only if BOTH above are Yes: Is QRS positive in Lead II?</t>
        </is>
      </c>
      <c r="C6" s="5" t="inlineStr"/>
      <c r="D6">
        <f>IF(C6="","",IF(C6="Yes","Lead II positive","Lead II negative (borderline left)"))</f>
        <v/>
      </c>
      <c r="E6" t="inlineStr">
        <is>
          <t>Tie‑breaker for subtle leftward axis.</t>
        </is>
      </c>
    </row>
    <row r="7">
      <c r="A7" s="6" t="inlineStr">
        <is>
          <t>RESULT</t>
        </is>
      </c>
      <c r="C7" s="3">
        <f>IF(AND(C4="Yes",C5="Yes"),IF(C6="No","Borderline left axis (0° to −30°)","Normal axis (0° to +90°)"),IF(AND(C4="No",C5="Yes"),"Right axis (+90° to +180°) – physiological in neonates",IF(AND(C4="Yes",C5="No"),"Left axis (0° to −90°) – consider pathology",IF(AND(C4="No",C5="No"),"Extreme axis (−90° to −180°) – abnormal",""))))</f>
        <v/>
      </c>
      <c r="D7">
        <f>IF(C7="","",IF(OR(LEFT(C7,6)="Normal",LEFT(C7,5)="Right "),"Neonatal note: Rightward axis is common in preterm/early neonates.","Neonatal note: Persistent left/extreme axis warrants clinical review."))</f>
        <v/>
      </c>
    </row>
  </sheetData>
  <mergeCells count="3">
    <mergeCell ref="A1:E1"/>
    <mergeCell ref="A2:E2"/>
    <mergeCell ref="A7:B7"/>
  </mergeCells>
  <conditionalFormatting sqref="C7">
    <cfRule type="expression" priority="1" dxfId="0">
      <formula>=OR(LEFT(C7,6)="Normal",LEFT(C7,5)="Right ")</formula>
    </cfRule>
    <cfRule type="expression" priority="2" dxfId="1">
      <formula>=OR(LEFT(C7,4)="Left",LEFT(C7,7)="Extreme")</formula>
    </cfRule>
    <cfRule type="expression" priority="3" dxfId="2">
      <formula>=LEFT(C7,9)="Borderline"</formula>
    </cfRule>
  </conditionalFormatting>
  <dataValidations count="1">
    <dataValidation sqref="C4 C5 C6" showErrorMessage="1" showInputMessage="1"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2025-09-17T10:34:31Z</dcterms:created>
  <dcterms:modified xmlns:dcterms="http://purl.org/dc/terms/" xmlns:xsi="http://www.w3.org/2001/XMLSchema-instance" xsi:type="dcterms:W3CDTF">2025-09-17T10:34:31Z</dcterms:modified>
</cp:coreProperties>
</file>